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8b61832cbc8a26/Desktop/PCC MINNESOTA USA/"/>
    </mc:Choice>
  </mc:AlternateContent>
  <xr:revisionPtr revIDLastSave="94" documentId="8_{E65F4836-FBB4-4634-8976-1E4E31507A3B}" xr6:coauthVersionLast="47" xr6:coauthVersionMax="47" xr10:uidLastSave="{3531E183-05CE-4EE7-A2EC-275E3BE20A02}"/>
  <bookViews>
    <workbookView xWindow="28695" yWindow="75" windowWidth="15810" windowHeight="15585" xr2:uid="{370956B6-B59F-4F76-B27F-0DC2B2FC6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52" i="1"/>
  <c r="L56" i="1" l="1"/>
  <c r="L54" i="1"/>
  <c r="G59" i="1" l="1"/>
</calcChain>
</file>

<file path=xl/sharedStrings.xml><?xml version="1.0" encoding="utf-8"?>
<sst xmlns="http://schemas.openxmlformats.org/spreadsheetml/2006/main" count="64" uniqueCount="61">
  <si>
    <t>PRESBYTERIAN CHURCH IN CAMEROON</t>
  </si>
  <si>
    <t>SN</t>
  </si>
  <si>
    <t>TOTAL</t>
  </si>
  <si>
    <t>PCC MINNESOTA CONGREGATION</t>
  </si>
  <si>
    <t>EXPENDITURE</t>
  </si>
  <si>
    <t>DESCRIPTION</t>
  </si>
  <si>
    <t>INCOME</t>
  </si>
  <si>
    <t>CASH CENTRES</t>
  </si>
  <si>
    <t>BANK</t>
  </si>
  <si>
    <t>HAND</t>
  </si>
  <si>
    <t>CASHAPP</t>
  </si>
  <si>
    <t>APPROVED BY</t>
  </si>
  <si>
    <t xml:space="preserve">CWF ANNUAL FINANCIAL REPORT </t>
  </si>
  <si>
    <t xml:space="preserve">SOURCES OF REVENUE </t>
  </si>
  <si>
    <t>Harvest contributions by members</t>
  </si>
  <si>
    <t>Zonal Rally Contribution from the Zone</t>
  </si>
  <si>
    <t>Condolence contributions from members</t>
  </si>
  <si>
    <t>Gift (Gratuity) from bereaved family</t>
  </si>
  <si>
    <t>World Day of Prayer (WDP)</t>
  </si>
  <si>
    <t>Offerings during Dedication of New members</t>
  </si>
  <si>
    <t>Contributions for Dedication of new members</t>
  </si>
  <si>
    <t>Keep CWF Alive fundraiser (twice)</t>
  </si>
  <si>
    <t>Support during Rally song presentation</t>
  </si>
  <si>
    <t>Fines and Pin-ups during special events</t>
  </si>
  <si>
    <t xml:space="preserve">CWF Group T-Shirts </t>
  </si>
  <si>
    <t>CWF Bags (yellow and Blue)</t>
  </si>
  <si>
    <t>Diaries ordered from 2022</t>
  </si>
  <si>
    <t>Support from other groups to the Group</t>
  </si>
  <si>
    <t xml:space="preserve">Support from Social Activities </t>
  </si>
  <si>
    <t>Zonal Rally support from the Congregation (3,646 + 700)</t>
  </si>
  <si>
    <t>Material Sold (Yellow/Blue wrapper, MJN, Batches, Cards, Study books)</t>
  </si>
  <si>
    <t>2023 Membership Dues</t>
  </si>
  <si>
    <t xml:space="preserve"> Brought forward Balance from 2022 ($)</t>
  </si>
  <si>
    <t>AMOUNT ($)</t>
  </si>
  <si>
    <t>Zonal Membership Dues (paid to Zone)</t>
  </si>
  <si>
    <t>CWF Harvest to the Congregation</t>
  </si>
  <si>
    <t>Zonnal Rally organisation expenses</t>
  </si>
  <si>
    <t>Refund to the Zone from Rally organisation</t>
  </si>
  <si>
    <t>Condolence visitations to members</t>
  </si>
  <si>
    <t>Zonal Leader's Air ticket for Funeral rights</t>
  </si>
  <si>
    <t>Expenses during dedication of New members (750 + 300 + 29.99 + 12.87 + 154)</t>
  </si>
  <si>
    <t>Zonal Leeader's Air ticket for the Dedication of new members</t>
  </si>
  <si>
    <t>Zonal Dedication offerings</t>
  </si>
  <si>
    <t xml:space="preserve">Group registration and Leadership course </t>
  </si>
  <si>
    <t>Gratuity to the Zonal delegates and clergy (200 + 200 + 500 + 125)</t>
  </si>
  <si>
    <t>Food during Rally song presentation</t>
  </si>
  <si>
    <t>Food during Pastor's visit in church</t>
  </si>
  <si>
    <t>Production of Dedication Invitations</t>
  </si>
  <si>
    <t xml:space="preserve">The Group's Zoom account </t>
  </si>
  <si>
    <t>The Group's phone</t>
  </si>
  <si>
    <t>Group materials (Yellow/Blue wrapper, handbooks study books, T-shirts, handbags)</t>
  </si>
  <si>
    <t>Decoration of the main church house at Chrismas by the group</t>
  </si>
  <si>
    <t>The Group's support to other congregational groups (250 + 50 + 150 + 50 + 300)</t>
  </si>
  <si>
    <t>The Church Diaries for the Group</t>
  </si>
  <si>
    <t>The Group's support to the Zonal Rally Hosting</t>
  </si>
  <si>
    <t xml:space="preserve">BALANCE as of December 31, 2023 (Brought forward + Income - Expenditure) is </t>
  </si>
  <si>
    <t>The Annual (2023) balance (Income - expenditure) is</t>
  </si>
  <si>
    <t>Cash deposit in the Account without any memo</t>
  </si>
  <si>
    <t>Group President, Sis Evelyn Ngwa;____________________________________ Date______________</t>
  </si>
  <si>
    <t>Group Financial Secretary, Sis.Mercy Suh; _____________________________ Date______________</t>
  </si>
  <si>
    <t>Group Treasurer, Sis. Felicia Nyamsari;________________________________ Date 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</si>
</sst>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4"/>
      <color theme="3"/>
      <name val="Calibri Light"/>
      <family val="2"/>
      <scheme val="major"/>
    </font>
    <font>
      <b/>
      <sz val="16"/>
      <color theme="3"/>
      <name val="Calibri Light"/>
      <family val="2"/>
      <scheme val="major"/>
    </font>
    <font>
      <sz val="16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3"/>
      <name val="Calibri Light"/>
      <family val="2"/>
      <scheme val="major"/>
    </font>
    <font>
      <b/>
      <sz val="12"/>
      <color theme="3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4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2"/>
      <name val="Calibri"/>
      <family val="2"/>
      <scheme val="minor"/>
    </font>
    <font>
      <sz val="11"/>
      <name val="Calibri Light"/>
      <family val="2"/>
      <scheme val="maj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 Light"/>
      <family val="2"/>
      <scheme val="major"/>
    </font>
    <font>
      <sz val="12"/>
      <name val="Calibri Light"/>
      <family val="2"/>
      <scheme val="major"/>
    </font>
    <font>
      <b/>
      <sz val="16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 style="medium">
        <color theme="4" tint="0.39997558519241921"/>
      </bottom>
      <diagonal/>
    </border>
    <border>
      <left/>
      <right style="hair">
        <color indexed="64"/>
      </right>
      <top/>
      <bottom style="medium">
        <color theme="4" tint="0.39997558519241921"/>
      </bottom>
      <diagonal/>
    </border>
    <border>
      <left/>
      <right/>
      <top style="medium">
        <color theme="4" tint="0.39997558519241921"/>
      </top>
      <bottom style="medium">
        <color theme="4" tint="0.39997558519241921"/>
      </bottom>
      <diagonal/>
    </border>
    <border>
      <left/>
      <right style="hair">
        <color indexed="64"/>
      </right>
      <top style="medium">
        <color theme="4" tint="0.39997558519241921"/>
      </top>
      <bottom style="medium">
        <color theme="4" tint="0.39997558519241921"/>
      </bottom>
      <diagonal/>
    </border>
    <border>
      <left style="hair">
        <color indexed="64"/>
      </left>
      <right/>
      <top style="medium">
        <color theme="4" tint="0.39997558519241921"/>
      </top>
      <bottom style="medium">
        <color theme="4" tint="0.39997558519241921"/>
      </bottom>
      <diagonal/>
    </border>
    <border>
      <left style="hair">
        <color indexed="64"/>
      </left>
      <right/>
      <top/>
      <bottom style="medium">
        <color theme="4" tint="0.39997558519241921"/>
      </bottom>
      <diagonal/>
    </border>
    <border>
      <left style="thin">
        <color indexed="64"/>
      </left>
      <right/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4" tint="0.39997558519241921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indexed="64"/>
      </left>
      <right/>
      <top style="medium">
        <color theme="4" tint="0.39997558519241921"/>
      </top>
      <bottom style="medium">
        <color indexed="64"/>
      </bottom>
      <diagonal/>
    </border>
    <border>
      <left/>
      <right/>
      <top style="medium">
        <color theme="4" tint="0.39997558519241921"/>
      </top>
      <bottom style="medium">
        <color indexed="64"/>
      </bottom>
      <diagonal/>
    </border>
    <border>
      <left/>
      <right style="hair">
        <color indexed="64"/>
      </right>
      <top style="medium">
        <color theme="4" tint="0.39997558519241921"/>
      </top>
      <bottom style="medium">
        <color indexed="64"/>
      </bottom>
      <diagonal/>
    </border>
    <border>
      <left style="hair">
        <color indexed="64"/>
      </left>
      <right/>
      <top style="medium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medium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0.3999755851924192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medium">
        <color theme="4" tint="0.39997558519241921"/>
      </top>
      <bottom style="medium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theme="4" tint="0.39997558519241921"/>
      </top>
      <bottom style="medium">
        <color theme="4" tint="0.399975585192419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</cellStyleXfs>
  <cellXfs count="100">
    <xf numFmtId="0" fontId="0" fillId="0" borderId="0" xfId="0"/>
    <xf numFmtId="2" fontId="0" fillId="0" borderId="0" xfId="0" applyNumberFormat="1"/>
    <xf numFmtId="0" fontId="2" fillId="0" borderId="0" xfId="0" applyFont="1"/>
    <xf numFmtId="0" fontId="8" fillId="0" borderId="0" xfId="0" applyFont="1"/>
    <xf numFmtId="0" fontId="6" fillId="0" borderId="12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4" fontId="9" fillId="0" borderId="0" xfId="2" applyNumberFormat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4" fontId="0" fillId="0" borderId="0" xfId="0" applyNumberFormat="1"/>
    <xf numFmtId="0" fontId="10" fillId="0" borderId="0" xfId="1" applyFont="1" applyAlignment="1">
      <alignment horizontal="center" vertical="center"/>
    </xf>
    <xf numFmtId="4" fontId="12" fillId="2" borderId="0" xfId="1" applyNumberFormat="1" applyFont="1" applyFill="1" applyBorder="1" applyAlignment="1">
      <alignment horizontal="center" vertical="center"/>
    </xf>
    <xf numFmtId="4" fontId="13" fillId="2" borderId="0" xfId="0" applyNumberFormat="1" applyFont="1" applyFill="1"/>
    <xf numFmtId="0" fontId="14" fillId="4" borderId="13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/>
    </xf>
    <xf numFmtId="4" fontId="16" fillId="4" borderId="35" xfId="1" applyNumberFormat="1" applyFont="1" applyFill="1" applyBorder="1" applyAlignment="1">
      <alignment horizontal="center" vertical="center"/>
    </xf>
    <xf numFmtId="0" fontId="17" fillId="0" borderId="41" xfId="1" applyFont="1" applyBorder="1" applyAlignment="1">
      <alignment vertical="center"/>
    </xf>
    <xf numFmtId="0" fontId="18" fillId="0" borderId="5" xfId="1" applyFont="1" applyBorder="1" applyAlignment="1">
      <alignment horizontal="left" vertical="center"/>
    </xf>
    <xf numFmtId="0" fontId="18" fillId="0" borderId="4" xfId="1" applyFont="1" applyBorder="1" applyAlignment="1">
      <alignment horizontal="left" vertical="center"/>
    </xf>
    <xf numFmtId="4" fontId="18" fillId="0" borderId="42" xfId="1" applyNumberFormat="1" applyFont="1" applyBorder="1" applyAlignment="1">
      <alignment vertical="center"/>
    </xf>
    <xf numFmtId="0" fontId="17" fillId="4" borderId="41" xfId="1" applyFont="1" applyFill="1" applyBorder="1" applyAlignment="1">
      <alignment vertical="center"/>
    </xf>
    <xf numFmtId="0" fontId="18" fillId="4" borderId="11" xfId="1" applyFont="1" applyFill="1" applyBorder="1" applyAlignment="1">
      <alignment horizontal="left" vertical="center" wrapText="1"/>
    </xf>
    <xf numFmtId="0" fontId="18" fillId="4" borderId="7" xfId="1" applyFont="1" applyFill="1" applyBorder="1" applyAlignment="1">
      <alignment horizontal="left" vertical="center" wrapText="1"/>
    </xf>
    <xf numFmtId="4" fontId="18" fillId="4" borderId="43" xfId="1" applyNumberFormat="1" applyFont="1" applyFill="1" applyBorder="1" applyAlignment="1">
      <alignment vertical="center"/>
    </xf>
    <xf numFmtId="0" fontId="18" fillId="0" borderId="11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4" fontId="18" fillId="0" borderId="43" xfId="1" applyNumberFormat="1" applyFont="1" applyBorder="1" applyAlignment="1">
      <alignment vertical="center"/>
    </xf>
    <xf numFmtId="0" fontId="18" fillId="0" borderId="11" xfId="1" applyFont="1" applyBorder="1" applyAlignment="1">
      <alignment horizontal="left" vertical="center"/>
    </xf>
    <xf numFmtId="0" fontId="18" fillId="0" borderId="7" xfId="1" applyFont="1" applyBorder="1" applyAlignment="1">
      <alignment horizontal="left" vertical="center"/>
    </xf>
    <xf numFmtId="0" fontId="18" fillId="0" borderId="11" xfId="1" applyFont="1" applyBorder="1" applyAlignment="1">
      <alignment horizontal="left"/>
    </xf>
    <xf numFmtId="0" fontId="18" fillId="0" borderId="7" xfId="1" applyFont="1" applyBorder="1" applyAlignment="1">
      <alignment horizontal="left"/>
    </xf>
    <xf numFmtId="0" fontId="18" fillId="4" borderId="11" xfId="1" applyFont="1" applyFill="1" applyBorder="1" applyAlignment="1">
      <alignment horizontal="left" vertical="center"/>
    </xf>
    <xf numFmtId="0" fontId="18" fillId="4" borderId="7" xfId="1" applyFont="1" applyFill="1" applyBorder="1" applyAlignment="1">
      <alignment horizontal="left" vertical="center"/>
    </xf>
    <xf numFmtId="0" fontId="18" fillId="5" borderId="11" xfId="1" applyFont="1" applyFill="1" applyBorder="1" applyAlignment="1">
      <alignment horizontal="left" vertical="center"/>
    </xf>
    <xf numFmtId="0" fontId="18" fillId="5" borderId="7" xfId="1" applyFont="1" applyFill="1" applyBorder="1" applyAlignment="1">
      <alignment horizontal="left" vertical="center"/>
    </xf>
    <xf numFmtId="0" fontId="17" fillId="4" borderId="49" xfId="1" applyFont="1" applyFill="1" applyBorder="1" applyAlignment="1">
      <alignment vertical="center"/>
    </xf>
    <xf numFmtId="0" fontId="19" fillId="4" borderId="4" xfId="2" applyFont="1" applyFill="1" applyBorder="1" applyAlignment="1">
      <alignment horizontal="left" vertical="center"/>
    </xf>
    <xf numFmtId="4" fontId="20" fillId="4" borderId="48" xfId="2" applyNumberFormat="1" applyFont="1" applyFill="1" applyBorder="1" applyAlignment="1">
      <alignment vertical="center"/>
    </xf>
    <xf numFmtId="0" fontId="17" fillId="0" borderId="17" xfId="1" applyFont="1" applyBorder="1" applyAlignment="1">
      <alignment vertical="center"/>
    </xf>
    <xf numFmtId="0" fontId="19" fillId="0" borderId="0" xfId="2" applyFont="1" applyBorder="1" applyAlignment="1">
      <alignment horizontal="left" vertical="center"/>
    </xf>
    <xf numFmtId="4" fontId="20" fillId="0" borderId="44" xfId="2" applyNumberFormat="1" applyFont="1" applyBorder="1" applyAlignment="1">
      <alignment vertical="center"/>
    </xf>
    <xf numFmtId="0" fontId="15" fillId="4" borderId="15" xfId="1" applyFont="1" applyFill="1" applyBorder="1" applyAlignment="1">
      <alignment horizontal="center" vertical="center" wrapText="1"/>
    </xf>
    <xf numFmtId="0" fontId="15" fillId="4" borderId="37" xfId="1" applyFont="1" applyFill="1" applyBorder="1" applyAlignment="1">
      <alignment horizontal="center" vertical="center" wrapText="1"/>
    </xf>
    <xf numFmtId="0" fontId="15" fillId="4" borderId="22" xfId="1" applyFont="1" applyFill="1" applyBorder="1" applyAlignment="1">
      <alignment horizontal="center" vertical="center" wrapText="1"/>
    </xf>
    <xf numFmtId="4" fontId="16" fillId="4" borderId="21" xfId="1" applyNumberFormat="1" applyFont="1" applyFill="1" applyBorder="1" applyAlignment="1">
      <alignment vertical="center"/>
    </xf>
    <xf numFmtId="0" fontId="14" fillId="0" borderId="39" xfId="1" applyFont="1" applyBorder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4" fillId="0" borderId="40" xfId="1" applyFont="1" applyBorder="1" applyAlignment="1">
      <alignment horizontal="center" vertical="center"/>
    </xf>
    <xf numFmtId="0" fontId="21" fillId="4" borderId="13" xfId="1" applyFont="1" applyFill="1" applyBorder="1" applyAlignment="1">
      <alignment horizontal="center" vertical="center"/>
    </xf>
    <xf numFmtId="0" fontId="16" fillId="4" borderId="38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0" fontId="16" fillId="4" borderId="3" xfId="1" applyFont="1" applyFill="1" applyBorder="1" applyAlignment="1">
      <alignment horizontal="center" vertical="center"/>
    </xf>
    <xf numFmtId="0" fontId="17" fillId="0" borderId="46" xfId="1" applyFont="1" applyBorder="1" applyAlignment="1">
      <alignment vertical="center"/>
    </xf>
    <xf numFmtId="15" fontId="17" fillId="0" borderId="4" xfId="1" applyNumberFormat="1" applyFont="1" applyBorder="1" applyAlignment="1">
      <alignment horizontal="left" vertical="center"/>
    </xf>
    <xf numFmtId="0" fontId="17" fillId="4" borderId="47" xfId="1" applyFont="1" applyFill="1" applyBorder="1" applyAlignment="1">
      <alignment vertical="center"/>
    </xf>
    <xf numFmtId="15" fontId="17" fillId="4" borderId="7" xfId="1" applyNumberFormat="1" applyFont="1" applyFill="1" applyBorder="1" applyAlignment="1">
      <alignment horizontal="left" vertical="center"/>
    </xf>
    <xf numFmtId="0" fontId="17" fillId="0" borderId="47" xfId="1" applyFont="1" applyBorder="1" applyAlignment="1">
      <alignment vertical="center"/>
    </xf>
    <xf numFmtId="15" fontId="17" fillId="0" borderId="7" xfId="1" applyNumberFormat="1" applyFont="1" applyBorder="1" applyAlignment="1">
      <alignment horizontal="left" vertical="center"/>
    </xf>
    <xf numFmtId="0" fontId="19" fillId="4" borderId="47" xfId="2" applyFont="1" applyFill="1" applyBorder="1" applyAlignment="1">
      <alignment vertical="center"/>
    </xf>
    <xf numFmtId="15" fontId="19" fillId="4" borderId="4" xfId="2" applyNumberFormat="1" applyFont="1" applyFill="1" applyBorder="1" applyAlignment="1">
      <alignment horizontal="left" vertical="center"/>
    </xf>
    <xf numFmtId="4" fontId="19" fillId="4" borderId="43" xfId="2" applyNumberFormat="1" applyFont="1" applyFill="1" applyBorder="1" applyAlignment="1">
      <alignment vertical="center"/>
    </xf>
    <xf numFmtId="0" fontId="19" fillId="0" borderId="47" xfId="2" applyFont="1" applyBorder="1" applyAlignment="1">
      <alignment vertical="center"/>
    </xf>
    <xf numFmtId="15" fontId="19" fillId="0" borderId="4" xfId="2" applyNumberFormat="1" applyFont="1" applyBorder="1" applyAlignment="1">
      <alignment horizontal="left" vertical="center"/>
    </xf>
    <xf numFmtId="4" fontId="19" fillId="0" borderId="43" xfId="2" applyNumberFormat="1" applyFont="1" applyBorder="1" applyAlignment="1">
      <alignment vertical="center"/>
    </xf>
    <xf numFmtId="15" fontId="17" fillId="0" borderId="36" xfId="1" applyNumberFormat="1" applyFont="1" applyBorder="1" applyAlignment="1">
      <alignment horizontal="left" vertical="center"/>
    </xf>
    <xf numFmtId="4" fontId="18" fillId="0" borderId="45" xfId="1" applyNumberFormat="1" applyFont="1" applyBorder="1" applyAlignment="1">
      <alignment vertical="center"/>
    </xf>
    <xf numFmtId="0" fontId="22" fillId="4" borderId="20" xfId="1" applyFont="1" applyFill="1" applyBorder="1" applyAlignment="1">
      <alignment horizontal="center" vertical="center"/>
    </xf>
    <xf numFmtId="0" fontId="22" fillId="4" borderId="16" xfId="1" applyFont="1" applyFill="1" applyBorder="1" applyAlignment="1">
      <alignment horizontal="center" vertical="center"/>
    </xf>
    <xf numFmtId="0" fontId="18" fillId="0" borderId="0" xfId="2" applyFont="1" applyBorder="1" applyAlignment="1">
      <alignment horizontal="center"/>
    </xf>
    <xf numFmtId="4" fontId="19" fillId="0" borderId="0" xfId="0" applyNumberFormat="1" applyFont="1"/>
    <xf numFmtId="0" fontId="2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8" fillId="0" borderId="30" xfId="2" applyFont="1" applyBorder="1" applyAlignment="1">
      <alignment horizontal="center" vertical="center"/>
    </xf>
    <xf numFmtId="0" fontId="18" fillId="0" borderId="4" xfId="2" applyFont="1" applyAlignment="1">
      <alignment horizontal="center" vertical="center"/>
    </xf>
    <xf numFmtId="0" fontId="18" fillId="0" borderId="6" xfId="2" applyFont="1" applyBorder="1" applyAlignment="1">
      <alignment horizontal="center" vertical="center"/>
    </xf>
    <xf numFmtId="4" fontId="16" fillId="2" borderId="10" xfId="2" applyNumberFormat="1" applyFont="1" applyFill="1" applyBorder="1" applyAlignment="1">
      <alignment horizontal="center" vertical="center"/>
    </xf>
    <xf numFmtId="4" fontId="16" fillId="2" borderId="4" xfId="2" applyNumberFormat="1" applyFont="1" applyFill="1" applyAlignment="1">
      <alignment horizontal="center" vertical="center"/>
    </xf>
    <xf numFmtId="4" fontId="16" fillId="2" borderId="14" xfId="2" applyNumberFormat="1" applyFont="1" applyFill="1" applyBorder="1" applyAlignment="1">
      <alignment horizontal="center" vertical="center"/>
    </xf>
    <xf numFmtId="0" fontId="18" fillId="3" borderId="23" xfId="2" applyFont="1" applyFill="1" applyBorder="1" applyAlignment="1">
      <alignment horizontal="center" vertical="center"/>
    </xf>
    <xf numFmtId="0" fontId="18" fillId="3" borderId="7" xfId="2" applyFont="1" applyFill="1" applyBorder="1" applyAlignment="1">
      <alignment horizontal="center" vertical="center"/>
    </xf>
    <xf numFmtId="0" fontId="18" fillId="3" borderId="8" xfId="2" applyFont="1" applyFill="1" applyBorder="1" applyAlignment="1">
      <alignment horizontal="center" vertical="center"/>
    </xf>
    <xf numFmtId="4" fontId="18" fillId="3" borderId="9" xfId="2" applyNumberFormat="1" applyFont="1" applyFill="1" applyBorder="1" applyAlignment="1">
      <alignment horizontal="center" vertical="center"/>
    </xf>
    <xf numFmtId="4" fontId="18" fillId="3" borderId="7" xfId="2" applyNumberFormat="1" applyFont="1" applyFill="1" applyBorder="1" applyAlignment="1">
      <alignment horizontal="center" vertical="center"/>
    </xf>
    <xf numFmtId="4" fontId="18" fillId="3" borderId="24" xfId="2" applyNumberFormat="1" applyFont="1" applyFill="1" applyBorder="1" applyAlignment="1">
      <alignment horizontal="center" vertical="center"/>
    </xf>
    <xf numFmtId="0" fontId="18" fillId="0" borderId="25" xfId="2" applyFont="1" applyBorder="1" applyAlignment="1">
      <alignment horizontal="center" vertical="center"/>
    </xf>
    <xf numFmtId="0" fontId="18" fillId="0" borderId="26" xfId="2" applyFont="1" applyBorder="1" applyAlignment="1">
      <alignment horizontal="center" vertical="center"/>
    </xf>
    <xf numFmtId="0" fontId="18" fillId="0" borderId="27" xfId="2" applyFont="1" applyBorder="1" applyAlignment="1">
      <alignment horizontal="center" vertical="center"/>
    </xf>
    <xf numFmtId="4" fontId="18" fillId="0" borderId="28" xfId="2" applyNumberFormat="1" applyFont="1" applyBorder="1" applyAlignment="1">
      <alignment horizontal="center" vertical="center"/>
    </xf>
    <xf numFmtId="4" fontId="18" fillId="0" borderId="26" xfId="2" applyNumberFormat="1" applyFont="1" applyBorder="1" applyAlignment="1">
      <alignment horizontal="center" vertical="center"/>
    </xf>
    <xf numFmtId="4" fontId="18" fillId="0" borderId="29" xfId="2" applyNumberFormat="1" applyFont="1" applyBorder="1" applyAlignment="1">
      <alignment horizontal="center" vertical="center"/>
    </xf>
    <xf numFmtId="0" fontId="24" fillId="3" borderId="31" xfId="1" applyFont="1" applyFill="1" applyBorder="1" applyAlignment="1">
      <alignment horizontal="center" vertical="center"/>
    </xf>
    <xf numFmtId="0" fontId="24" fillId="3" borderId="32" xfId="1" applyFont="1" applyFill="1" applyBorder="1" applyAlignment="1">
      <alignment horizontal="center" vertical="center"/>
    </xf>
    <xf numFmtId="0" fontId="24" fillId="3" borderId="33" xfId="1" applyFont="1" applyFill="1" applyBorder="1" applyAlignment="1">
      <alignment horizontal="center" vertical="center"/>
    </xf>
    <xf numFmtId="0" fontId="17" fillId="0" borderId="0" xfId="1" applyFont="1" applyAlignment="1">
      <alignment vertical="center"/>
    </xf>
    <xf numFmtId="0" fontId="6" fillId="0" borderId="0" xfId="1" applyFont="1" applyBorder="1" applyAlignment="1">
      <alignment horizontal="right" vertical="center"/>
    </xf>
  </cellXfs>
  <cellStyles count="3">
    <cellStyle name="Heading 3" xfId="2" builtinId="18"/>
    <cellStyle name="Normal" xfId="0" builtinId="0"/>
    <cellStyle name="Title" xfId="1" builtinId="15"/>
  </cellStyles>
  <dxfs count="0"/>
  <tableStyles count="0" defaultTableStyle="TableStyleMedium2" defaultPivotStyle="PivotStyleLight16"/>
  <colors>
    <mruColors>
      <color rgb="FFC30DA5"/>
      <color rgb="FF8A0000"/>
      <color rgb="FF260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169558</xdr:colOff>
      <xdr:row>0</xdr:row>
      <xdr:rowOff>18642</xdr:rowOff>
    </xdr:from>
    <xdr:to>
      <xdr:col>1</xdr:col>
      <xdr:colOff>511241</xdr:colOff>
      <xdr:row>3</xdr:row>
      <xdr:rowOff>16585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1FB726C-0D4D-C6BF-26EB-78F7CE277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58" y="18642"/>
          <a:ext cx="706304" cy="6838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BD03-4B3E-47E4-9AD8-310EA1679010}">
  <dimension ref="A1:R67"/>
  <sheetViews>
    <sheetView tabSelected="1" view="pageLayout" zoomScale="87" zoomScaleNormal="85" zoomScalePageLayoutView="87" workbookViewId="0">
      <selection activeCell="B11" sqref="B11:K11"/>
    </sheetView>
  </sheetViews>
  <sheetFormatPr defaultColWidth="8.88671875" defaultRowHeight="14.4" x14ac:dyDescent="0.3"/>
  <cols>
    <col min="1" max="1" width="5.21875" customWidth="1"/>
    <col min="3" max="3" width="8.21875" customWidth="1"/>
    <col min="4" max="10" width="6.33203125" customWidth="1"/>
    <col min="11" max="11" width="7.109375" customWidth="1"/>
    <col min="12" max="12" width="13.33203125" customWidth="1"/>
    <col min="13" max="13" width="3.5546875" customWidth="1"/>
  </cols>
  <sheetData>
    <row r="1" spans="1:18" ht="18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8" ht="18" customHeight="1" x14ac:dyDescent="0.3">
      <c r="A2" s="8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8" ht="18" customHeight="1" x14ac:dyDescent="0.3">
      <c r="A3" s="9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8" ht="16.8" customHeight="1" thickBot="1" x14ac:dyDescent="0.35">
      <c r="A4" s="99" t="s">
        <v>32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16">
        <v>15225.65</v>
      </c>
    </row>
    <row r="5" spans="1:18" ht="18.600000000000001" customHeight="1" x14ac:dyDescent="0.3">
      <c r="A5" s="4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6"/>
    </row>
    <row r="6" spans="1:18" ht="18.600000000000001" customHeight="1" x14ac:dyDescent="0.3">
      <c r="A6" s="18" t="s">
        <v>1</v>
      </c>
      <c r="B6" s="19" t="s">
        <v>13</v>
      </c>
      <c r="C6" s="19"/>
      <c r="D6" s="19"/>
      <c r="E6" s="19"/>
      <c r="F6" s="19"/>
      <c r="G6" s="19"/>
      <c r="H6" s="19"/>
      <c r="I6" s="19"/>
      <c r="J6" s="19"/>
      <c r="K6" s="19"/>
      <c r="L6" s="20" t="s">
        <v>33</v>
      </c>
    </row>
    <row r="7" spans="1:18" ht="18" customHeight="1" thickBot="1" x14ac:dyDescent="0.35">
      <c r="A7" s="21">
        <v>1</v>
      </c>
      <c r="B7" s="22" t="s">
        <v>31</v>
      </c>
      <c r="C7" s="23"/>
      <c r="D7" s="23"/>
      <c r="E7" s="23"/>
      <c r="F7" s="23"/>
      <c r="G7" s="23"/>
      <c r="H7" s="23"/>
      <c r="I7" s="23"/>
      <c r="J7" s="23"/>
      <c r="K7" s="23"/>
      <c r="L7" s="24">
        <v>12773</v>
      </c>
    </row>
    <row r="8" spans="1:18" ht="18" customHeight="1" thickBot="1" x14ac:dyDescent="0.35">
      <c r="A8" s="25">
        <v>2</v>
      </c>
      <c r="B8" s="26" t="s">
        <v>14</v>
      </c>
      <c r="C8" s="27"/>
      <c r="D8" s="27"/>
      <c r="E8" s="27"/>
      <c r="F8" s="27"/>
      <c r="G8" s="27"/>
      <c r="H8" s="27"/>
      <c r="I8" s="27"/>
      <c r="J8" s="27"/>
      <c r="K8" s="27"/>
      <c r="L8" s="28">
        <v>7859</v>
      </c>
    </row>
    <row r="9" spans="1:18" ht="18" customHeight="1" thickBot="1" x14ac:dyDescent="0.35">
      <c r="A9" s="21">
        <v>3</v>
      </c>
      <c r="B9" s="29" t="s">
        <v>15</v>
      </c>
      <c r="C9" s="30"/>
      <c r="D9" s="30"/>
      <c r="E9" s="30"/>
      <c r="F9" s="30"/>
      <c r="G9" s="30"/>
      <c r="H9" s="30"/>
      <c r="I9" s="30"/>
      <c r="J9" s="30"/>
      <c r="K9" s="30"/>
      <c r="L9" s="31">
        <v>18000</v>
      </c>
    </row>
    <row r="10" spans="1:18" ht="18" customHeight="1" thickBot="1" x14ac:dyDescent="0.35">
      <c r="A10" s="25">
        <v>4</v>
      </c>
      <c r="B10" s="26" t="s">
        <v>29</v>
      </c>
      <c r="C10" s="27"/>
      <c r="D10" s="27"/>
      <c r="E10" s="27"/>
      <c r="F10" s="27"/>
      <c r="G10" s="27"/>
      <c r="H10" s="27"/>
      <c r="I10" s="27"/>
      <c r="J10" s="27"/>
      <c r="K10" s="27"/>
      <c r="L10" s="28">
        <v>4346</v>
      </c>
    </row>
    <row r="11" spans="1:18" ht="18" customHeight="1" thickBot="1" x14ac:dyDescent="0.35">
      <c r="A11" s="21">
        <v>5</v>
      </c>
      <c r="B11" s="29" t="s">
        <v>16</v>
      </c>
      <c r="C11" s="30"/>
      <c r="D11" s="30"/>
      <c r="E11" s="30"/>
      <c r="F11" s="30"/>
      <c r="G11" s="30"/>
      <c r="H11" s="30"/>
      <c r="I11" s="30"/>
      <c r="J11" s="30"/>
      <c r="K11" s="30"/>
      <c r="L11" s="31">
        <v>960</v>
      </c>
    </row>
    <row r="12" spans="1:18" ht="18" customHeight="1" thickBot="1" x14ac:dyDescent="0.35">
      <c r="A12" s="25">
        <v>6</v>
      </c>
      <c r="B12" s="26" t="s">
        <v>17</v>
      </c>
      <c r="C12" s="27"/>
      <c r="D12" s="27"/>
      <c r="E12" s="27"/>
      <c r="F12" s="27"/>
      <c r="G12" s="27"/>
      <c r="H12" s="27"/>
      <c r="I12" s="27"/>
      <c r="J12" s="27"/>
      <c r="K12" s="27"/>
      <c r="L12" s="28">
        <v>300</v>
      </c>
      <c r="R12" s="1"/>
    </row>
    <row r="13" spans="1:18" ht="18" customHeight="1" thickBot="1" x14ac:dyDescent="0.35">
      <c r="A13" s="21">
        <v>7</v>
      </c>
      <c r="B13" s="32" t="s">
        <v>18</v>
      </c>
      <c r="C13" s="33"/>
      <c r="D13" s="33"/>
      <c r="E13" s="33"/>
      <c r="F13" s="33"/>
      <c r="G13" s="33"/>
      <c r="H13" s="33"/>
      <c r="I13" s="33"/>
      <c r="J13" s="33"/>
      <c r="K13" s="33"/>
      <c r="L13" s="31">
        <v>157</v>
      </c>
      <c r="R13" s="1"/>
    </row>
    <row r="14" spans="1:18" ht="18" customHeight="1" thickBot="1" x14ac:dyDescent="0.35">
      <c r="A14" s="25">
        <v>8</v>
      </c>
      <c r="B14" s="26" t="s">
        <v>19</v>
      </c>
      <c r="C14" s="27"/>
      <c r="D14" s="27"/>
      <c r="E14" s="27"/>
      <c r="F14" s="27"/>
      <c r="G14" s="27"/>
      <c r="H14" s="27"/>
      <c r="I14" s="27"/>
      <c r="J14" s="27"/>
      <c r="K14" s="27"/>
      <c r="L14" s="28">
        <v>441</v>
      </c>
      <c r="R14" s="1"/>
    </row>
    <row r="15" spans="1:18" ht="18" customHeight="1" thickBot="1" x14ac:dyDescent="0.35">
      <c r="A15" s="21">
        <v>9</v>
      </c>
      <c r="B15" s="29" t="s">
        <v>20</v>
      </c>
      <c r="C15" s="30"/>
      <c r="D15" s="30"/>
      <c r="E15" s="30"/>
      <c r="F15" s="30"/>
      <c r="G15" s="30"/>
      <c r="H15" s="30"/>
      <c r="I15" s="30"/>
      <c r="J15" s="30"/>
      <c r="K15" s="30"/>
      <c r="L15" s="31">
        <v>700</v>
      </c>
    </row>
    <row r="16" spans="1:18" ht="18" customHeight="1" thickBot="1" x14ac:dyDescent="0.35">
      <c r="A16" s="25">
        <v>10</v>
      </c>
      <c r="B16" s="26" t="s">
        <v>21</v>
      </c>
      <c r="C16" s="27"/>
      <c r="D16" s="27"/>
      <c r="E16" s="27"/>
      <c r="F16" s="27"/>
      <c r="G16" s="27"/>
      <c r="H16" s="27"/>
      <c r="I16" s="27"/>
      <c r="J16" s="27"/>
      <c r="K16" s="27"/>
      <c r="L16" s="28">
        <v>2000</v>
      </c>
      <c r="Q16" s="1"/>
    </row>
    <row r="17" spans="1:17" ht="18" customHeight="1" thickBot="1" x14ac:dyDescent="0.35">
      <c r="A17" s="21">
        <v>11</v>
      </c>
      <c r="B17" s="29" t="s">
        <v>22</v>
      </c>
      <c r="C17" s="30"/>
      <c r="D17" s="30"/>
      <c r="E17" s="30"/>
      <c r="F17" s="30"/>
      <c r="G17" s="30"/>
      <c r="H17" s="30"/>
      <c r="I17" s="30"/>
      <c r="J17" s="30"/>
      <c r="K17" s="30"/>
      <c r="L17" s="31">
        <v>712</v>
      </c>
    </row>
    <row r="18" spans="1:17" ht="18" customHeight="1" thickBot="1" x14ac:dyDescent="0.35">
      <c r="A18" s="25">
        <v>12</v>
      </c>
      <c r="B18" s="26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8">
        <v>453</v>
      </c>
      <c r="Q18" s="1"/>
    </row>
    <row r="19" spans="1:17" ht="18" customHeight="1" thickBot="1" x14ac:dyDescent="0.35">
      <c r="A19" s="21">
        <v>13</v>
      </c>
      <c r="B19" s="34" t="s">
        <v>24</v>
      </c>
      <c r="C19" s="35"/>
      <c r="D19" s="35"/>
      <c r="E19" s="35"/>
      <c r="F19" s="35"/>
      <c r="G19" s="35"/>
      <c r="H19" s="35"/>
      <c r="I19" s="35"/>
      <c r="J19" s="35"/>
      <c r="K19" s="35"/>
      <c r="L19" s="31">
        <v>1584</v>
      </c>
    </row>
    <row r="20" spans="1:17" ht="18" customHeight="1" thickBot="1" x14ac:dyDescent="0.35">
      <c r="A20" s="25">
        <v>14</v>
      </c>
      <c r="B20" s="36" t="s">
        <v>25</v>
      </c>
      <c r="C20" s="37"/>
      <c r="D20" s="37"/>
      <c r="E20" s="37"/>
      <c r="F20" s="37"/>
      <c r="G20" s="37"/>
      <c r="H20" s="37"/>
      <c r="I20" s="37"/>
      <c r="J20" s="37"/>
      <c r="K20" s="37"/>
      <c r="L20" s="28">
        <v>910</v>
      </c>
    </row>
    <row r="21" spans="1:17" ht="18" customHeight="1" thickBot="1" x14ac:dyDescent="0.35">
      <c r="A21" s="21">
        <v>15</v>
      </c>
      <c r="B21" s="38" t="s">
        <v>26</v>
      </c>
      <c r="C21" s="39"/>
      <c r="D21" s="39"/>
      <c r="E21" s="39"/>
      <c r="F21" s="39"/>
      <c r="G21" s="39"/>
      <c r="H21" s="39"/>
      <c r="I21" s="39"/>
      <c r="J21" s="39"/>
      <c r="K21" s="39"/>
      <c r="L21" s="31">
        <v>300</v>
      </c>
    </row>
    <row r="22" spans="1:17" ht="18" customHeight="1" thickBot="1" x14ac:dyDescent="0.35">
      <c r="A22" s="25">
        <v>16</v>
      </c>
      <c r="B22" s="36" t="s">
        <v>27</v>
      </c>
      <c r="C22" s="37"/>
      <c r="D22" s="37"/>
      <c r="E22" s="37"/>
      <c r="F22" s="37"/>
      <c r="G22" s="37"/>
      <c r="H22" s="37"/>
      <c r="I22" s="37"/>
      <c r="J22" s="37"/>
      <c r="K22" s="37"/>
      <c r="L22" s="28">
        <v>500</v>
      </c>
    </row>
    <row r="23" spans="1:17" ht="18" customHeight="1" thickBot="1" x14ac:dyDescent="0.35">
      <c r="A23" s="21">
        <v>17</v>
      </c>
      <c r="B23" s="32" t="s">
        <v>28</v>
      </c>
      <c r="C23" s="33"/>
      <c r="D23" s="33"/>
      <c r="E23" s="33"/>
      <c r="F23" s="33"/>
      <c r="G23" s="33"/>
      <c r="H23" s="33"/>
      <c r="I23" s="33"/>
      <c r="J23" s="33"/>
      <c r="K23" s="33"/>
      <c r="L23" s="31">
        <v>1000.19</v>
      </c>
    </row>
    <row r="24" spans="1:17" ht="18" customHeight="1" thickBot="1" x14ac:dyDescent="0.35">
      <c r="A24" s="40">
        <v>18</v>
      </c>
      <c r="B24" s="41" t="s">
        <v>30</v>
      </c>
      <c r="C24" s="41"/>
      <c r="D24" s="41"/>
      <c r="E24" s="41"/>
      <c r="F24" s="41"/>
      <c r="G24" s="41"/>
      <c r="H24" s="41"/>
      <c r="I24" s="41"/>
      <c r="J24" s="41"/>
      <c r="K24" s="41"/>
      <c r="L24" s="42">
        <v>2002</v>
      </c>
    </row>
    <row r="25" spans="1:17" ht="18" customHeight="1" x14ac:dyDescent="0.3">
      <c r="A25" s="43">
        <v>19</v>
      </c>
      <c r="B25" s="44" t="s">
        <v>57</v>
      </c>
      <c r="C25" s="44"/>
      <c r="D25" s="44"/>
      <c r="E25" s="44"/>
      <c r="F25" s="44"/>
      <c r="G25" s="44"/>
      <c r="H25" s="44"/>
      <c r="I25" s="44"/>
      <c r="J25" s="44"/>
      <c r="K25" s="44"/>
      <c r="L25" s="45">
        <v>216.98</v>
      </c>
    </row>
    <row r="26" spans="1:17" ht="18" customHeight="1" thickBot="1" x14ac:dyDescent="0.35">
      <c r="A26" s="46" t="s">
        <v>2</v>
      </c>
      <c r="B26" s="47"/>
      <c r="C26" s="47"/>
      <c r="D26" s="47"/>
      <c r="E26" s="47"/>
      <c r="F26" s="47"/>
      <c r="G26" s="47"/>
      <c r="H26" s="47"/>
      <c r="I26" s="47"/>
      <c r="J26" s="47"/>
      <c r="K26" s="48"/>
      <c r="L26" s="49">
        <f>SUM(L7:L25)</f>
        <v>55214.170000000006</v>
      </c>
    </row>
    <row r="27" spans="1:17" ht="18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7" ht="18" customHeight="1" thickBot="1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7" ht="18" customHeight="1" x14ac:dyDescent="0.3">
      <c r="A29" s="50" t="s">
        <v>4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7" ht="18" customHeight="1" x14ac:dyDescent="0.3">
      <c r="A30" s="53" t="s">
        <v>1</v>
      </c>
      <c r="B30" s="54" t="s">
        <v>5</v>
      </c>
      <c r="C30" s="55"/>
      <c r="D30" s="55"/>
      <c r="E30" s="55"/>
      <c r="F30" s="55"/>
      <c r="G30" s="55"/>
      <c r="H30" s="55"/>
      <c r="I30" s="55"/>
      <c r="J30" s="55"/>
      <c r="K30" s="56"/>
      <c r="L30" s="20" t="s">
        <v>33</v>
      </c>
    </row>
    <row r="31" spans="1:17" ht="18" customHeight="1" thickBot="1" x14ac:dyDescent="0.35">
      <c r="A31" s="57">
        <v>1</v>
      </c>
      <c r="B31" s="58" t="s">
        <v>34</v>
      </c>
      <c r="C31" s="58"/>
      <c r="D31" s="58"/>
      <c r="E31" s="58"/>
      <c r="F31" s="58"/>
      <c r="G31" s="58"/>
      <c r="H31" s="58"/>
      <c r="I31" s="58"/>
      <c r="J31" s="58"/>
      <c r="K31" s="58"/>
      <c r="L31" s="24">
        <v>4950</v>
      </c>
    </row>
    <row r="32" spans="1:17" ht="18" customHeight="1" thickBot="1" x14ac:dyDescent="0.35">
      <c r="A32" s="59">
        <v>2</v>
      </c>
      <c r="B32" s="60" t="s">
        <v>35</v>
      </c>
      <c r="C32" s="60"/>
      <c r="D32" s="60"/>
      <c r="E32" s="60"/>
      <c r="F32" s="60"/>
      <c r="G32" s="60"/>
      <c r="H32" s="60"/>
      <c r="I32" s="60"/>
      <c r="J32" s="60"/>
      <c r="K32" s="60"/>
      <c r="L32" s="28">
        <v>7859</v>
      </c>
    </row>
    <row r="33" spans="1:12" ht="18" customHeight="1" thickBot="1" x14ac:dyDescent="0.35">
      <c r="A33" s="61">
        <v>3</v>
      </c>
      <c r="B33" s="62" t="s">
        <v>36</v>
      </c>
      <c r="C33" s="62"/>
      <c r="D33" s="62"/>
      <c r="E33" s="62"/>
      <c r="F33" s="62"/>
      <c r="G33" s="62"/>
      <c r="H33" s="62"/>
      <c r="I33" s="62"/>
      <c r="J33" s="62"/>
      <c r="K33" s="62"/>
      <c r="L33" s="31">
        <v>17230.259999999998</v>
      </c>
    </row>
    <row r="34" spans="1:12" ht="18" customHeight="1" thickBot="1" x14ac:dyDescent="0.35">
      <c r="A34" s="59">
        <v>4</v>
      </c>
      <c r="B34" s="60" t="s">
        <v>37</v>
      </c>
      <c r="C34" s="60"/>
      <c r="D34" s="60"/>
      <c r="E34" s="60"/>
      <c r="F34" s="60"/>
      <c r="G34" s="60"/>
      <c r="H34" s="60"/>
      <c r="I34" s="60"/>
      <c r="J34" s="60"/>
      <c r="K34" s="60"/>
      <c r="L34" s="28">
        <v>769.74</v>
      </c>
    </row>
    <row r="35" spans="1:12" ht="18" customHeight="1" thickBot="1" x14ac:dyDescent="0.35">
      <c r="A35" s="61">
        <v>5</v>
      </c>
      <c r="B35" s="62" t="s">
        <v>38</v>
      </c>
      <c r="C35" s="62"/>
      <c r="D35" s="62"/>
      <c r="E35" s="62"/>
      <c r="F35" s="62"/>
      <c r="G35" s="62"/>
      <c r="H35" s="62"/>
      <c r="I35" s="62"/>
      <c r="J35" s="62"/>
      <c r="K35" s="62"/>
      <c r="L35" s="31">
        <v>1450</v>
      </c>
    </row>
    <row r="36" spans="1:12" ht="18" customHeight="1" thickBot="1" x14ac:dyDescent="0.35">
      <c r="A36" s="59">
        <v>6</v>
      </c>
      <c r="B36" s="60" t="s">
        <v>39</v>
      </c>
      <c r="C36" s="60"/>
      <c r="D36" s="60"/>
      <c r="E36" s="60"/>
      <c r="F36" s="60"/>
      <c r="G36" s="60"/>
      <c r="H36" s="60"/>
      <c r="I36" s="60"/>
      <c r="J36" s="60"/>
      <c r="K36" s="60"/>
      <c r="L36" s="28">
        <v>500</v>
      </c>
    </row>
    <row r="37" spans="1:12" ht="18" customHeight="1" thickBot="1" x14ac:dyDescent="0.35">
      <c r="A37" s="61">
        <v>7</v>
      </c>
      <c r="B37" s="62" t="s">
        <v>40</v>
      </c>
      <c r="C37" s="62"/>
      <c r="D37" s="62"/>
      <c r="E37" s="62"/>
      <c r="F37" s="62"/>
      <c r="G37" s="62"/>
      <c r="H37" s="62"/>
      <c r="I37" s="62"/>
      <c r="J37" s="62"/>
      <c r="K37" s="62"/>
      <c r="L37" s="31">
        <v>1246.8599999999999</v>
      </c>
    </row>
    <row r="38" spans="1:12" ht="18" customHeight="1" thickBot="1" x14ac:dyDescent="0.35">
      <c r="A38" s="63">
        <v>8</v>
      </c>
      <c r="B38" s="64" t="s">
        <v>41</v>
      </c>
      <c r="C38" s="64"/>
      <c r="D38" s="64"/>
      <c r="E38" s="64"/>
      <c r="F38" s="64"/>
      <c r="G38" s="64"/>
      <c r="H38" s="64"/>
      <c r="I38" s="64"/>
      <c r="J38" s="64"/>
      <c r="K38" s="64"/>
      <c r="L38" s="65">
        <v>500</v>
      </c>
    </row>
    <row r="39" spans="1:12" ht="18" customHeight="1" thickBot="1" x14ac:dyDescent="0.35">
      <c r="A39" s="66">
        <v>9</v>
      </c>
      <c r="B39" s="67" t="s">
        <v>42</v>
      </c>
      <c r="C39" s="67"/>
      <c r="D39" s="67"/>
      <c r="E39" s="67"/>
      <c r="F39" s="67"/>
      <c r="G39" s="67"/>
      <c r="H39" s="67"/>
      <c r="I39" s="67"/>
      <c r="J39" s="67"/>
      <c r="K39" s="67"/>
      <c r="L39" s="68">
        <v>220.5</v>
      </c>
    </row>
    <row r="40" spans="1:12" ht="18" customHeight="1" thickBot="1" x14ac:dyDescent="0.35">
      <c r="A40" s="59">
        <v>10</v>
      </c>
      <c r="B40" s="60" t="s">
        <v>43</v>
      </c>
      <c r="C40" s="60"/>
      <c r="D40" s="60"/>
      <c r="E40" s="60"/>
      <c r="F40" s="60"/>
      <c r="G40" s="60"/>
      <c r="H40" s="60"/>
      <c r="I40" s="60"/>
      <c r="J40" s="60"/>
      <c r="K40" s="60"/>
      <c r="L40" s="28">
        <v>200</v>
      </c>
    </row>
    <row r="41" spans="1:12" ht="18" customHeight="1" thickBot="1" x14ac:dyDescent="0.35">
      <c r="A41" s="61">
        <v>11</v>
      </c>
      <c r="B41" s="62" t="s">
        <v>44</v>
      </c>
      <c r="C41" s="62"/>
      <c r="D41" s="62"/>
      <c r="E41" s="62"/>
      <c r="F41" s="62"/>
      <c r="G41" s="62"/>
      <c r="H41" s="62"/>
      <c r="I41" s="62"/>
      <c r="J41" s="62"/>
      <c r="K41" s="62"/>
      <c r="L41" s="31">
        <v>1025</v>
      </c>
    </row>
    <row r="42" spans="1:12" ht="18" customHeight="1" thickBot="1" x14ac:dyDescent="0.35">
      <c r="A42" s="59">
        <v>12</v>
      </c>
      <c r="B42" s="60" t="s">
        <v>45</v>
      </c>
      <c r="C42" s="60"/>
      <c r="D42" s="60"/>
      <c r="E42" s="60"/>
      <c r="F42" s="60"/>
      <c r="G42" s="60"/>
      <c r="H42" s="60"/>
      <c r="I42" s="60"/>
      <c r="J42" s="60"/>
      <c r="K42" s="60"/>
      <c r="L42" s="28">
        <v>200</v>
      </c>
    </row>
    <row r="43" spans="1:12" ht="18" customHeight="1" thickBot="1" x14ac:dyDescent="0.35">
      <c r="A43" s="61">
        <v>13</v>
      </c>
      <c r="B43" s="62" t="s">
        <v>46</v>
      </c>
      <c r="C43" s="62"/>
      <c r="D43" s="62"/>
      <c r="E43" s="62"/>
      <c r="F43" s="62"/>
      <c r="G43" s="62"/>
      <c r="H43" s="62"/>
      <c r="I43" s="62"/>
      <c r="J43" s="62"/>
      <c r="K43" s="62"/>
      <c r="L43" s="31">
        <v>130</v>
      </c>
    </row>
    <row r="44" spans="1:12" ht="18" customHeight="1" thickBot="1" x14ac:dyDescent="0.35">
      <c r="A44" s="59">
        <v>14</v>
      </c>
      <c r="B44" s="60" t="s">
        <v>47</v>
      </c>
      <c r="C44" s="60"/>
      <c r="D44" s="60"/>
      <c r="E44" s="60"/>
      <c r="F44" s="60"/>
      <c r="G44" s="60"/>
      <c r="H44" s="60"/>
      <c r="I44" s="60"/>
      <c r="J44" s="60"/>
      <c r="K44" s="60"/>
      <c r="L44" s="28">
        <v>100</v>
      </c>
    </row>
    <row r="45" spans="1:12" ht="18" customHeight="1" thickBot="1" x14ac:dyDescent="0.35">
      <c r="A45" s="61">
        <v>15</v>
      </c>
      <c r="B45" s="62" t="s">
        <v>48</v>
      </c>
      <c r="C45" s="62"/>
      <c r="D45" s="62"/>
      <c r="E45" s="62"/>
      <c r="F45" s="62"/>
      <c r="G45" s="62"/>
      <c r="H45" s="62"/>
      <c r="I45" s="62"/>
      <c r="J45" s="62"/>
      <c r="K45" s="62"/>
      <c r="L45" s="31">
        <v>149</v>
      </c>
    </row>
    <row r="46" spans="1:12" ht="18" customHeight="1" thickBot="1" x14ac:dyDescent="0.35">
      <c r="A46" s="59">
        <v>16</v>
      </c>
      <c r="B46" s="60" t="s">
        <v>49</v>
      </c>
      <c r="C46" s="60"/>
      <c r="D46" s="60"/>
      <c r="E46" s="60"/>
      <c r="F46" s="60"/>
      <c r="G46" s="60"/>
      <c r="H46" s="60"/>
      <c r="I46" s="60"/>
      <c r="J46" s="60"/>
      <c r="K46" s="60"/>
      <c r="L46" s="28">
        <v>89.91</v>
      </c>
    </row>
    <row r="47" spans="1:12" ht="18" customHeight="1" thickBot="1" x14ac:dyDescent="0.35">
      <c r="A47" s="61">
        <v>17</v>
      </c>
      <c r="B47" s="62" t="s">
        <v>50</v>
      </c>
      <c r="C47" s="62"/>
      <c r="D47" s="62"/>
      <c r="E47" s="62"/>
      <c r="F47" s="62"/>
      <c r="G47" s="62"/>
      <c r="H47" s="62"/>
      <c r="I47" s="62"/>
      <c r="J47" s="62"/>
      <c r="K47" s="62"/>
      <c r="L47" s="31">
        <v>5934</v>
      </c>
    </row>
    <row r="48" spans="1:12" ht="18" customHeight="1" thickBot="1" x14ac:dyDescent="0.35">
      <c r="A48" s="59">
        <v>18</v>
      </c>
      <c r="B48" s="60" t="s">
        <v>51</v>
      </c>
      <c r="C48" s="60"/>
      <c r="D48" s="60"/>
      <c r="E48" s="60"/>
      <c r="F48" s="60"/>
      <c r="G48" s="60"/>
      <c r="H48" s="60"/>
      <c r="I48" s="60"/>
      <c r="J48" s="60"/>
      <c r="K48" s="60"/>
      <c r="L48" s="28">
        <v>166.57</v>
      </c>
    </row>
    <row r="49" spans="1:12" ht="18" customHeight="1" thickBot="1" x14ac:dyDescent="0.35">
      <c r="A49" s="61">
        <v>19</v>
      </c>
      <c r="B49" s="62" t="s">
        <v>52</v>
      </c>
      <c r="C49" s="62"/>
      <c r="D49" s="62"/>
      <c r="E49" s="62"/>
      <c r="F49" s="62"/>
      <c r="G49" s="62"/>
      <c r="H49" s="62"/>
      <c r="I49" s="62"/>
      <c r="J49" s="62"/>
      <c r="K49" s="62"/>
      <c r="L49" s="31">
        <v>800</v>
      </c>
    </row>
    <row r="50" spans="1:12" ht="18" customHeight="1" thickBot="1" x14ac:dyDescent="0.35">
      <c r="A50" s="59">
        <v>20</v>
      </c>
      <c r="B50" s="60" t="s">
        <v>53</v>
      </c>
      <c r="C50" s="60"/>
      <c r="D50" s="60"/>
      <c r="E50" s="60"/>
      <c r="F50" s="60"/>
      <c r="G50" s="60"/>
      <c r="H50" s="60"/>
      <c r="I50" s="60"/>
      <c r="J50" s="60"/>
      <c r="K50" s="60"/>
      <c r="L50" s="28">
        <v>350</v>
      </c>
    </row>
    <row r="51" spans="1:12" ht="18" customHeight="1" x14ac:dyDescent="0.3">
      <c r="A51" s="43">
        <v>21</v>
      </c>
      <c r="B51" s="69" t="s">
        <v>54</v>
      </c>
      <c r="C51" s="69"/>
      <c r="D51" s="69"/>
      <c r="E51" s="69"/>
      <c r="F51" s="69"/>
      <c r="G51" s="69"/>
      <c r="H51" s="69"/>
      <c r="I51" s="69"/>
      <c r="J51" s="69"/>
      <c r="K51" s="69"/>
      <c r="L51" s="70">
        <v>5920</v>
      </c>
    </row>
    <row r="52" spans="1:12" ht="20.399999999999999" customHeight="1" thickBot="1" x14ac:dyDescent="0.35">
      <c r="A52" s="71" t="s">
        <v>2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49">
        <f>SUM(L31:L51)</f>
        <v>49790.840000000004</v>
      </c>
    </row>
    <row r="53" spans="1:12" ht="14.4" customHeight="1" x14ac:dyDescent="0.3"/>
    <row r="54" spans="1:12" ht="14.4" customHeight="1" x14ac:dyDescent="0.3">
      <c r="A54" s="73" t="s">
        <v>56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4">
        <f>L26-L52</f>
        <v>5423.3300000000017</v>
      </c>
    </row>
    <row r="55" spans="1:12" ht="14.4" customHeight="1" x14ac:dyDescent="0.3"/>
    <row r="56" spans="1:12" ht="20.399999999999999" customHeight="1" x14ac:dyDescent="0.35">
      <c r="A56" s="75" t="s">
        <v>55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17">
        <f>L4+L26-L52</f>
        <v>20648.980000000003</v>
      </c>
    </row>
    <row r="57" spans="1:12" ht="20.399999999999999" customHeight="1" thickBot="1" x14ac:dyDescent="0.3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4"/>
    </row>
    <row r="58" spans="1:12" ht="18" customHeight="1" thickBot="1" x14ac:dyDescent="0.35">
      <c r="A58" s="2"/>
      <c r="B58" s="95" t="s">
        <v>7</v>
      </c>
      <c r="C58" s="96"/>
      <c r="D58" s="96"/>
      <c r="E58" s="96"/>
      <c r="F58" s="96"/>
      <c r="G58" s="96"/>
      <c r="H58" s="96"/>
      <c r="I58" s="97"/>
      <c r="J58" s="2"/>
      <c r="K58" s="2"/>
    </row>
    <row r="59" spans="1:12" ht="18" customHeight="1" thickBot="1" x14ac:dyDescent="0.35">
      <c r="A59" s="2"/>
      <c r="B59" s="77" t="s">
        <v>8</v>
      </c>
      <c r="C59" s="78"/>
      <c r="D59" s="78"/>
      <c r="E59" s="78"/>
      <c r="F59" s="79"/>
      <c r="G59" s="80">
        <f>L56</f>
        <v>20648.980000000003</v>
      </c>
      <c r="H59" s="81"/>
      <c r="I59" s="82"/>
      <c r="J59" s="2"/>
      <c r="K59" s="2"/>
      <c r="L59" s="14"/>
    </row>
    <row r="60" spans="1:12" ht="18" customHeight="1" thickBot="1" x14ac:dyDescent="0.35">
      <c r="A60" s="2"/>
      <c r="B60" s="83" t="s">
        <v>10</v>
      </c>
      <c r="C60" s="84"/>
      <c r="D60" s="84"/>
      <c r="E60" s="84"/>
      <c r="F60" s="85"/>
      <c r="G60" s="86">
        <v>0</v>
      </c>
      <c r="H60" s="87"/>
      <c r="I60" s="88"/>
      <c r="J60" s="2"/>
      <c r="K60" s="2"/>
      <c r="L60" s="14"/>
    </row>
    <row r="61" spans="1:12" ht="18" customHeight="1" thickBot="1" x14ac:dyDescent="0.35">
      <c r="A61" s="2"/>
      <c r="B61" s="89" t="s">
        <v>9</v>
      </c>
      <c r="C61" s="90"/>
      <c r="D61" s="90"/>
      <c r="E61" s="90"/>
      <c r="F61" s="91"/>
      <c r="G61" s="92">
        <v>0</v>
      </c>
      <c r="H61" s="93"/>
      <c r="I61" s="94"/>
      <c r="J61" s="2"/>
      <c r="K61" s="2"/>
    </row>
    <row r="62" spans="1:12" ht="18" customHeight="1" x14ac:dyDescent="0.3">
      <c r="A62" s="2"/>
      <c r="B62" s="10"/>
      <c r="C62" s="10"/>
      <c r="D62" s="10"/>
      <c r="E62" s="10"/>
      <c r="F62" s="10"/>
      <c r="G62" s="11"/>
      <c r="H62" s="11"/>
      <c r="I62" s="11"/>
      <c r="J62" s="2"/>
      <c r="K62" s="2"/>
    </row>
    <row r="63" spans="1:12" ht="21.6" customHeight="1" x14ac:dyDescent="0.3">
      <c r="A63" s="76" t="s">
        <v>11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</row>
    <row r="64" spans="1:12" s="3" customFormat="1" ht="36" customHeight="1" x14ac:dyDescent="0.4">
      <c r="A64"/>
      <c r="B64" s="98" t="s">
        <v>60</v>
      </c>
      <c r="C64" s="98"/>
      <c r="D64" s="98"/>
      <c r="E64" s="98"/>
      <c r="F64" s="98"/>
      <c r="G64" s="98"/>
      <c r="H64" s="98"/>
      <c r="I64" s="98"/>
      <c r="J64" s="98"/>
      <c r="K64" s="98"/>
    </row>
    <row r="65" spans="1:11" ht="36" customHeight="1" x14ac:dyDescent="0.3">
      <c r="B65" s="98" t="s">
        <v>59</v>
      </c>
      <c r="C65" s="98"/>
      <c r="D65" s="98"/>
      <c r="E65" s="98"/>
      <c r="F65" s="98"/>
      <c r="G65" s="98"/>
      <c r="H65" s="98"/>
      <c r="I65" s="98"/>
      <c r="J65" s="98"/>
      <c r="K65" s="98"/>
    </row>
    <row r="66" spans="1:11" s="2" customFormat="1" ht="36.6" customHeight="1" x14ac:dyDescent="0.3">
      <c r="A66"/>
      <c r="B66" s="98" t="s">
        <v>58</v>
      </c>
      <c r="C66" s="98"/>
      <c r="D66" s="98"/>
      <c r="E66" s="98"/>
      <c r="F66" s="98"/>
      <c r="G66" s="98"/>
      <c r="H66" s="98"/>
      <c r="I66" s="98"/>
      <c r="J66" s="98"/>
      <c r="K66" s="98"/>
    </row>
    <row r="67" spans="1:11" s="2" customFormat="1" ht="15.6" x14ac:dyDescent="0.3">
      <c r="A67"/>
      <c r="B67"/>
      <c r="C67"/>
      <c r="D67"/>
      <c r="E67"/>
      <c r="F67"/>
      <c r="G67"/>
      <c r="H67"/>
      <c r="I67"/>
      <c r="J67"/>
      <c r="K67"/>
    </row>
  </sheetData>
  <mergeCells count="61">
    <mergeCell ref="A63:L63"/>
    <mergeCell ref="B44:K44"/>
    <mergeCell ref="B45:K45"/>
    <mergeCell ref="B46:K46"/>
    <mergeCell ref="B47:K47"/>
    <mergeCell ref="B48:K48"/>
    <mergeCell ref="B49:K49"/>
    <mergeCell ref="B50:K50"/>
    <mergeCell ref="A26:K26"/>
    <mergeCell ref="B30:K30"/>
    <mergeCell ref="B31:K31"/>
    <mergeCell ref="B32:K32"/>
    <mergeCell ref="B33:K33"/>
    <mergeCell ref="B34:K34"/>
    <mergeCell ref="B35:K35"/>
    <mergeCell ref="B36:K36"/>
    <mergeCell ref="B37:K37"/>
    <mergeCell ref="A29:L29"/>
    <mergeCell ref="A27:L28"/>
    <mergeCell ref="B6:K6"/>
    <mergeCell ref="B7:K7"/>
    <mergeCell ref="B8:K8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A56:K56"/>
    <mergeCell ref="B61:F61"/>
    <mergeCell ref="G61:I61"/>
    <mergeCell ref="A54:K54"/>
    <mergeCell ref="B51:K51"/>
    <mergeCell ref="B38:K38"/>
    <mergeCell ref="A5:L5"/>
    <mergeCell ref="A1:L1"/>
    <mergeCell ref="A2:L2"/>
    <mergeCell ref="A3:L3"/>
    <mergeCell ref="A52:K52"/>
    <mergeCell ref="B58:I58"/>
    <mergeCell ref="B59:F59"/>
    <mergeCell ref="G59:I59"/>
    <mergeCell ref="B60:F60"/>
    <mergeCell ref="G60:I60"/>
    <mergeCell ref="B39:K39"/>
    <mergeCell ref="B40:K40"/>
    <mergeCell ref="B41:K41"/>
    <mergeCell ref="B42:K42"/>
    <mergeCell ref="B43:K43"/>
    <mergeCell ref="A4:K4"/>
  </mergeCells>
  <phoneticPr fontId="1" type="noConversion"/>
  <pageMargins left="0.7" right="0.7" top="0.75" bottom="0.75" header="0.3" footer="0.3"/>
  <pageSetup orientation="portrait" horizontalDpi="4294967293" verticalDpi="0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AFRIGEOLABS GROUP</dc:creator>
  <cp:lastModifiedBy>Emmanuel TIMAH</cp:lastModifiedBy>
  <cp:lastPrinted>2024-04-20T19:01:11Z</cp:lastPrinted>
  <dcterms:created xsi:type="dcterms:W3CDTF">2023-04-01T21:56:58Z</dcterms:created>
  <dcterms:modified xsi:type="dcterms:W3CDTF">2024-04-20T19:04:40Z</dcterms:modified>
</cp:coreProperties>
</file>